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B2A2980-046E-4A42-8330-4FEE93F037B4}" xr6:coauthVersionLast="47" xr6:coauthVersionMax="47" xr10:uidLastSave="{00000000-0000-0000-0000-000000000000}"/>
  <bookViews>
    <workbookView xWindow="0" yWindow="0" windowWidth="16384" windowHeight="8192" tabRatio="500" activeTab="5" xr2:uid="{00000000-000D-0000-FFFF-FFFF00000000}"/>
  </bookViews>
  <sheets>
    <sheet name="Instructions" sheetId="1" r:id="rId1"/>
    <sheet name="Historicals" sheetId="2" r:id="rId2"/>
    <sheet name="Assumptions" sheetId="3" r:id="rId3"/>
    <sheet name="Forecast" sheetId="4" r:id="rId4"/>
    <sheet name="WACC" sheetId="5" r:id="rId5"/>
    <sheet name="DCF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6" l="1"/>
  <c r="B11" i="6"/>
  <c r="B12" i="5"/>
  <c r="B11" i="5"/>
  <c r="B13" i="5" s="1"/>
  <c r="B7" i="5"/>
  <c r="B6" i="5"/>
  <c r="B5" i="5"/>
  <c r="B8" i="5" s="1"/>
  <c r="F5" i="4"/>
  <c r="E5" i="4"/>
  <c r="D5" i="4"/>
  <c r="C5" i="4"/>
  <c r="B5" i="4"/>
  <c r="B6" i="4" s="1"/>
  <c r="B24" i="3"/>
  <c r="B20" i="6" s="1"/>
  <c r="B23" i="3"/>
  <c r="B22" i="3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22" i="6" l="1"/>
  <c r="B16" i="5"/>
  <c r="B19" i="6"/>
  <c r="B17" i="5"/>
  <c r="B19" i="5" s="1"/>
  <c r="B12" i="4"/>
  <c r="B11" i="4"/>
  <c r="B10" i="4"/>
  <c r="B7" i="4"/>
  <c r="C6" i="4"/>
  <c r="C12" i="4" l="1"/>
  <c r="C11" i="4"/>
  <c r="C10" i="4"/>
  <c r="C7" i="4"/>
  <c r="D6" i="4"/>
  <c r="B8" i="4"/>
  <c r="B9" i="4" s="1"/>
  <c r="B13" i="4" s="1"/>
  <c r="B5" i="6" s="1"/>
  <c r="B18" i="5"/>
  <c r="B21" i="5" s="1"/>
  <c r="F7" i="6" l="1"/>
  <c r="E7" i="6"/>
  <c r="D7" i="6"/>
  <c r="C7" i="6"/>
  <c r="B7" i="6"/>
  <c r="B8" i="6"/>
  <c r="D12" i="4"/>
  <c r="D11" i="4"/>
  <c r="D10" i="4"/>
  <c r="D7" i="4"/>
  <c r="E6" i="4"/>
  <c r="C8" i="4"/>
  <c r="C9" i="4" s="1"/>
  <c r="C13" i="4" s="1"/>
  <c r="C5" i="6" s="1"/>
  <c r="C8" i="6" s="1"/>
  <c r="E12" i="4" l="1"/>
  <c r="E11" i="4"/>
  <c r="E10" i="4"/>
  <c r="E7" i="4"/>
  <c r="F6" i="4"/>
  <c r="D8" i="4"/>
  <c r="D9" i="4" s="1"/>
  <c r="D13" i="4" s="1"/>
  <c r="D5" i="6" s="1"/>
  <c r="D8" i="6" s="1"/>
  <c r="F12" i="4" l="1"/>
  <c r="F11" i="4"/>
  <c r="F10" i="4"/>
  <c r="F7" i="4"/>
  <c r="E8" i="4"/>
  <c r="E9" i="4" s="1"/>
  <c r="E13" i="4" s="1"/>
  <c r="E5" i="6" s="1"/>
  <c r="E8" i="6" s="1"/>
  <c r="F8" i="4" l="1"/>
  <c r="F9" i="4" s="1"/>
  <c r="F13" i="4" s="1"/>
  <c r="F5" i="6" s="1"/>
  <c r="B12" i="6" l="1"/>
  <c r="B13" i="6" s="1"/>
  <c r="B17" i="6" s="1"/>
  <c r="F8" i="6"/>
  <c r="B16" i="6" s="1"/>
  <c r="B18" i="6" s="1"/>
  <c r="B21" i="6" s="1"/>
  <c r="B25" i="6" s="1"/>
  <c r="B27" i="6" s="1"/>
  <c r="B28" i="6" s="1"/>
</calcChain>
</file>

<file path=xl/sharedStrings.xml><?xml version="1.0" encoding="utf-8"?>
<sst xmlns="http://schemas.openxmlformats.org/spreadsheetml/2006/main" count="168" uniqueCount="157">
  <si>
    <t>Infosys (INFY.NS) — DCF Valuation Model</t>
  </si>
  <si>
    <t>Template built from historical filings + public data (Sept 2026). Refresh before real use.</t>
  </si>
  <si>
    <t>HOW THIS WORKBOOK IS ORGANIZED</t>
  </si>
  <si>
    <t>1. Historicals</t>
  </si>
  <si>
    <t>Actual reported financials, FY2022–FY2026. Source noted per row.</t>
  </si>
  <si>
    <t>2. Assumptions</t>
  </si>
  <si>
    <t>Every lever the model uses. Change numbers ONLY on this tab.</t>
  </si>
  <si>
    <t>3. Forecast</t>
  </si>
  <si>
    <t>5-year projection (FY2027–FY2031), built entirely from Assumptions.</t>
  </si>
  <si>
    <t>4. WACC</t>
  </si>
  <si>
    <t>5. DCF</t>
  </si>
  <si>
    <t>COLOR LEGEND</t>
  </si>
  <si>
    <t>Blue text</t>
  </si>
  <si>
    <t>Hardcoded input — a real number typed in, not calculated.</t>
  </si>
  <si>
    <t>Black text</t>
  </si>
  <si>
    <t>Formula — calculated from other cells.</t>
  </si>
  <si>
    <t>Green text</t>
  </si>
  <si>
    <t>Link pulling a value from another sheet.</t>
  </si>
  <si>
    <t>Yellow fill</t>
  </si>
  <si>
    <t>Cells you should REVIEW/UPDATE before trusting the output — see notes below.</t>
  </si>
  <si>
    <t>BEFORE YOU RELY ON THIS MODEL — REFRESH THESE (all yellow-filled cells)</t>
  </si>
  <si>
    <t>Current share price</t>
  </si>
  <si>
    <t>Assumptions!B21 — pull live from NSE/yfinance.</t>
  </si>
  <si>
    <t>Risk-free rate</t>
  </si>
  <si>
    <t>Assumptions!B17 — current 10Y India G-Sec yield (investing.com / RBI).</t>
  </si>
  <si>
    <t>Equity risk premium</t>
  </si>
  <si>
    <t>Assumptions!B18 — Damodaran's India ERP estimate, updated yearly.</t>
  </si>
  <si>
    <t>Beta</t>
  </si>
  <si>
    <t>Assumptions!B19 — recompute from 2–5yr weekly returns vs NIFTY 50, or pull via yfinance.</t>
  </si>
  <si>
    <t>Cost of debt</t>
  </si>
  <si>
    <t>Assumptions!B20 — Infosys's actual interest expense ÷ total debt, latest annual report.</t>
  </si>
  <si>
    <t>Historicals</t>
  </si>
  <si>
    <t>All of tab 2 — re-run data_pull.py to replace with the latest 5 filed years.</t>
  </si>
  <si>
    <t>WHAT THIS MODEL DELIBERATELY DOES NOT DO (be ready to explain why, or add later)</t>
  </si>
  <si>
    <t>No sensitivity table yet</t>
  </si>
  <si>
    <t>Single-point WACC / terminal growth. Good v2 addition: WACC x g grid.</t>
  </si>
  <si>
    <t>Only Gordon Growth terminal value</t>
  </si>
  <si>
    <t>Exit-multiple method would be a good cross-check to add.</t>
  </si>
  <si>
    <t>Flat margin assumption</t>
  </si>
  <si>
    <t>Real model would build cost lines up (S&amp;A, R&amp;D) rather than one EBIT margin %.</t>
  </si>
  <si>
    <t>Manual data refresh</t>
  </si>
  <si>
    <t>Historicals are pasted from a Python pull, not live-linked.</t>
  </si>
  <si>
    <t>Historicals — Infosys Consolidated (IFRS)</t>
  </si>
  <si>
    <t>All figures in ₹ Crores unless noted. Source: Infosys Annual Reports / Investor filings, compiled Sept 2026.</t>
  </si>
  <si>
    <t>Line Item (₹ Crores)</t>
  </si>
  <si>
    <t>FY2022</t>
  </si>
  <si>
    <t>FY2023</t>
  </si>
  <si>
    <t>FY2024</t>
  </si>
  <si>
    <t>FY2025</t>
  </si>
  <si>
    <t>FY2026</t>
  </si>
  <si>
    <t>Total Revenue</t>
  </si>
  <si>
    <t>Total Operating Expenses</t>
  </si>
  <si>
    <t>Operating Profit (EBIT)</t>
  </si>
  <si>
    <t>Profit Before Tax</t>
  </si>
  <si>
    <t>Net Income (PAT)</t>
  </si>
  <si>
    <t>Total Assets</t>
  </si>
  <si>
    <t>Total Shareholders' Equity</t>
  </si>
  <si>
    <t>Total Debt (incl. lease liabilities)</t>
  </si>
  <si>
    <t>Cash &amp; Cash Equivalents</t>
  </si>
  <si>
    <t>Capital Expenditure (approx.)</t>
  </si>
  <si>
    <t>Shares Outstanding (Crores)</t>
  </si>
  <si>
    <t>Revenue Growth % (YoY)</t>
  </si>
  <si>
    <t>EBIT Margin %</t>
  </si>
  <si>
    <t>Effective Tax Rate %</t>
  </si>
  <si>
    <t>Capex as % of Revenue</t>
  </si>
  <si>
    <t>Note: D&amp;A and ΔNWC are not broken out cleanly in headline filings pulled here —</t>
  </si>
  <si>
    <t>pull the full cash flow statement (via data_pull.py) and update Assumptions tab with exact %s.</t>
  </si>
  <si>
    <t>Assumptions — every lever the model uses</t>
  </si>
  <si>
    <t>Edit ONLY here. Yellow = verify/refresh before trusting output.</t>
  </si>
  <si>
    <t>REVENUE &amp; MARGIN FORECAST</t>
  </si>
  <si>
    <t>Revenue growth — Year 1 (FY27)</t>
  </si>
  <si>
    <t>Close to FY26 actual growth (9.85%); fades after.</t>
  </si>
  <si>
    <t>Revenue growth — fades to by Year 5 (FY31)</t>
  </si>
  <si>
    <t>Long-run IT services growth assumption for India, ~nominal GDP-plus.</t>
  </si>
  <si>
    <t>EBIT margin (held flat, all 5 years)</t>
  </si>
  <si>
    <t>5yr historical average EBIT margin (see Historicals row 19).</t>
  </si>
  <si>
    <t>Effective tax rate</t>
  </si>
  <si>
    <t>≈ FY22–26 average effective tax rate.</t>
  </si>
  <si>
    <t>D&amp;A as % of revenue</t>
  </si>
  <si>
    <t>Placeholder — replace with exact figure from cash flow statement.</t>
  </si>
  <si>
    <t>Capex as % of revenue</t>
  </si>
  <si>
    <t>≈ 5yr historical average (see Historicals row 21).</t>
  </si>
  <si>
    <t>Δ Net Working Capital as % of revenue change</t>
  </si>
  <si>
    <t>Placeholder — Infosys has high receivables (~90+ days); verify from filings.</t>
  </si>
  <si>
    <t>WACC INPUTS</t>
  </si>
  <si>
    <t>Risk-free rate (India 10Y G-Sec yield)</t>
  </si>
  <si>
    <t>REFRESH from investing.com / RBI before use.</t>
  </si>
  <si>
    <t>Equity risk premium (India)</t>
  </si>
  <si>
    <t>REFRESH — see Damodaran's country ERP dataset (updated ~yearly).</t>
  </si>
  <si>
    <t>Beta (INFY vs NIFTY 50)</t>
  </si>
  <si>
    <t>REFRESH — recompute from 2-5yr weekly returns, or pull via yfinance.</t>
  </si>
  <si>
    <t>Pre-tax cost of debt</t>
  </si>
  <si>
    <t>REFRESH — interest expense ÷ total debt, latest annual report.</t>
  </si>
  <si>
    <t>VALUATION INPUTS</t>
  </si>
  <si>
    <t>Terminal growth rate</t>
  </si>
  <si>
    <t>≈ long-run India nominal GDP growth proxy.</t>
  </si>
  <si>
    <t>Current share price (₹)</t>
  </si>
  <si>
    <t>REFRESH — live NSE:INFY price.</t>
  </si>
  <si>
    <t>Shares outstanding (Crores)</t>
  </si>
  <si>
    <t>Total debt, latest year (₹ Cr)</t>
  </si>
  <si>
    <t>Cash &amp; equivalents, latest year (₹ Cr)</t>
  </si>
  <si>
    <t>BUY threshold (upside required)</t>
  </si>
  <si>
    <t>Implied price &gt; current price by this much -&gt; BUY.</t>
  </si>
  <si>
    <t>SELL threshold (downside trigger)</t>
  </si>
  <si>
    <t>Implied price below current price by this much -&gt; SELL.</t>
  </si>
  <si>
    <t>5-Year Forecast — FY2027 to FY2031</t>
  </si>
  <si>
    <t>All figures in ₹ Crores. Every formula pulls from Assumptions tab.</t>
  </si>
  <si>
    <t>₹ Crores</t>
  </si>
  <si>
    <t>FY2027</t>
  </si>
  <si>
    <t>FY2028</t>
  </si>
  <si>
    <t>FY2029</t>
  </si>
  <si>
    <t>FY2030</t>
  </si>
  <si>
    <t>FY2031</t>
  </si>
  <si>
    <t>Revenue growth %</t>
  </si>
  <si>
    <t>Revenue</t>
  </si>
  <si>
    <t>EBIT</t>
  </si>
  <si>
    <t>Tax on EBIT</t>
  </si>
  <si>
    <t>NOPAT (EBIT after tax)</t>
  </si>
  <si>
    <t>(+) D&amp;A</t>
  </si>
  <si>
    <t>(-) Capex</t>
  </si>
  <si>
    <t>(-) Δ Net Working Capital</t>
  </si>
  <si>
    <t>Unlevered Free Cash Flow</t>
  </si>
  <si>
    <t>WACC — Weighted Average Cost of Capital</t>
  </si>
  <si>
    <t>CAPM for cost of equity; market-value weights.</t>
  </si>
  <si>
    <t>COST OF EQUITY (CAPM)</t>
  </si>
  <si>
    <t>Cost of Equity = Rf + Beta x ERP</t>
  </si>
  <si>
    <t>COST OF DEBT</t>
  </si>
  <si>
    <t>Tax rate</t>
  </si>
  <si>
    <t>After-tax cost of debt</t>
  </si>
  <si>
    <t>CAPITAL WEIGHTS</t>
  </si>
  <si>
    <t>Market cap (₹ Cr) = price x shares</t>
  </si>
  <si>
    <t>Total debt (₹ Cr)</t>
  </si>
  <si>
    <t>Weight of equity</t>
  </si>
  <si>
    <t>Weight of debt</t>
  </si>
  <si>
    <t>WACC</t>
  </si>
  <si>
    <t>DCF — Implied Share Price &amp; Recommendation</t>
  </si>
  <si>
    <t>Discounts Forecast!FCF at WACC; Gordon Growth terminal value.</t>
  </si>
  <si>
    <t>Unlevered FCF</t>
  </si>
  <si>
    <t>Discount period (n)</t>
  </si>
  <si>
    <t>Discount factor = 1/(1+WACC)^n</t>
  </si>
  <si>
    <t>PV of FCF</t>
  </si>
  <si>
    <t>TERMINAL VALUE (Gordon Growth)</t>
  </si>
  <si>
    <t>Terminal Value = FCF_Y5 x (1+g) / (WACC - g)</t>
  </si>
  <si>
    <t>PV of Terminal Value</t>
  </si>
  <si>
    <t>VALUATION BRIDGE</t>
  </si>
  <si>
    <t>Sum of PV of FCF (Years 1-5)</t>
  </si>
  <si>
    <t>(+) PV of Terminal Value</t>
  </si>
  <si>
    <t>Enterprise Value</t>
  </si>
  <si>
    <t>(-) Total Debt</t>
  </si>
  <si>
    <t>(+) Cash &amp; Equivalents</t>
  </si>
  <si>
    <t>Equity Value</t>
  </si>
  <si>
    <t>Shares Outstanding (Cr)</t>
  </si>
  <si>
    <t>OUTPUT</t>
  </si>
  <si>
    <t>IMPLIED SHARE PRICE (₹)</t>
  </si>
  <si>
    <t>Current Share Price (₹)</t>
  </si>
  <si>
    <t>Upside / (Downside)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</si>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</sst>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6" formatCode="0.000"/>
  </numFmts>
  <fonts count="10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11"/>
      <color rgb="FF595959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sz val="11"/>
      <color rgb="FF008000"/>
      <name val="Arial"/>
      <charset val="1"/>
    </font>
    <font>
      <b/>
      <sz val="11"/>
      <name val="Cambria"/>
      <charset val="1"/>
    </font>
    <font>
      <b/>
      <sz val="13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C6E0B4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165" fontId="3" fillId="0" borderId="1" xfId="0" applyNumberFormat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5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0" fontId="6" fillId="0" borderId="1" xfId="0" applyFont="1" applyBorder="1"/>
    <xf numFmtId="165" fontId="5" fillId="4" borderId="1" xfId="0" applyNumberFormat="1" applyFont="1" applyFill="1" applyBorder="1"/>
    <xf numFmtId="2" fontId="5" fillId="4" borderId="1" xfId="0" applyNumberFormat="1" applyFont="1" applyFill="1" applyBorder="1"/>
    <xf numFmtId="4" fontId="5" fillId="4" borderId="1" xfId="0" applyNumberFormat="1" applyFont="1" applyFill="1" applyBorder="1"/>
    <xf numFmtId="0" fontId="7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4" fontId="3" fillId="0" borderId="1" xfId="0" applyNumberFormat="1" applyFont="1" applyBorder="1"/>
    <xf numFmtId="0" fontId="4" fillId="0" borderId="1" xfId="0" applyFont="1" applyBorder="1"/>
    <xf numFmtId="164" fontId="4" fillId="5" borderId="1" xfId="0" applyNumberFormat="1" applyFont="1" applyFill="1" applyBorder="1"/>
    <xf numFmtId="2" fontId="7" fillId="0" borderId="1" xfId="0" applyNumberFormat="1" applyFont="1" applyBorder="1"/>
    <xf numFmtId="165" fontId="8" fillId="0" borderId="1" xfId="0" applyNumberFormat="1" applyFont="1" applyBorder="1"/>
    <xf numFmtId="0" fontId="9" fillId="5" borderId="1" xfId="0" applyFont="1" applyFill="1" applyBorder="1"/>
    <xf numFmtId="165" fontId="9" fillId="5" borderId="1" xfId="0" applyNumberFormat="1" applyFont="1" applyFill="1" applyBorder="1"/>
    <xf numFmtId="166" fontId="7" fillId="0" borderId="1" xfId="0" applyNumberFormat="1" applyFont="1" applyBorder="1"/>
    <xf numFmtId="164" fontId="8" fillId="0" borderId="1" xfId="0" applyNumberFormat="1" applyFont="1" applyBorder="1"/>
    <xf numFmtId="0" fontId="8" fillId="0" borderId="1" xfId="0" applyFont="1" applyBorder="1"/>
    <xf numFmtId="164" fontId="8" fillId="5" borderId="1" xfId="0" applyNumberFormat="1" applyFont="1" applyFill="1" applyBorder="1"/>
    <xf numFmtId="0" fontId="9" fillId="0" borderId="1" xfId="0" applyFont="1" applyBorder="1"/>
    <xf numFmtId="4" fontId="9" fillId="6" borderId="1" xfId="0" applyNumberFormat="1" applyFont="1" applyFill="1" applyBorder="1"/>
    <xf numFmtId="4" fontId="7" fillId="0" borderId="1" xfId="0" applyNumberFormat="1" applyFont="1" applyBorder="1"/>
    <xf numFmtId="0" fontId="9" fillId="7" borderId="1" xfId="0" applyFont="1" applyFill="1" applyBorder="1" applyAlignment="1">
      <alignment horizontal="center"/>
    </xf>
    <xf numFmtId="0" fontId="2" fillId="0" borderId="0" xfId="0" applyFont="1" applyBorder="1" applyAlignment="1"/>
    <xf numFmtId="0" fontId="4" fillId="3" borderId="0" xfId="0" applyFont="1" applyFill="1" applyBorder="1" applyAlignment="1"/>
    <xf numFmtId="0" fontId="6" fillId="0" borderId="0" xfId="0" applyFont="1" applyBorder="1" applyAlignment="1"/>
    <xf numFmtId="0" fontId="4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zoomScaleNormal="100" workbookViewId="0">
      <selection activeCell="B7" sqref="B7"/>
    </sheetView>
  </sheetViews>
  <sheetFormatPr defaultColWidth="8.7109375" defaultRowHeight="15"/>
  <cols>
    <col min="1" max="1" width="34" customWidth="1"/>
    <col min="2" max="2" width="70" customWidth="1"/>
    <col min="3" max="10" width="22" customWidth="1"/>
  </cols>
  <sheetData>
    <row r="1" spans="1:8" ht="25.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7" t="s">
        <v>1</v>
      </c>
      <c r="B2" s="37"/>
      <c r="C2" s="37"/>
      <c r="D2" s="37"/>
      <c r="E2" s="37"/>
      <c r="F2" s="37"/>
      <c r="G2" s="37"/>
      <c r="H2" s="37"/>
    </row>
    <row r="4" spans="1:8">
      <c r="A4" s="2"/>
      <c r="B4" s="3"/>
    </row>
    <row r="5" spans="1:8">
      <c r="A5" s="38" t="s">
        <v>2</v>
      </c>
      <c r="B5" s="38"/>
      <c r="C5" s="38"/>
      <c r="D5" s="38"/>
      <c r="E5" s="38"/>
      <c r="F5" s="38"/>
      <c r="G5" s="38"/>
      <c r="H5" s="38"/>
    </row>
    <row r="6" spans="1:8">
      <c r="A6" s="4" t="s">
        <v>3</v>
      </c>
      <c r="B6" s="3" t="s">
        <v>4</v>
      </c>
    </row>
    <row r="7" spans="1:8">
      <c r="A7" s="4" t="s">
        <v>5</v>
      </c>
      <c r="B7" s="3" t="s">
        <v>6</v>
      </c>
    </row>
    <row r="8" spans="1:8">
      <c r="A8" s="4" t="s">
        <v>7</v>
      </c>
      <c r="B8" s="3" t="s">
        <v>8</v>
      </c>
    </row>
    <row r="9" spans="1:8">
      <c r="A9" s="38" t="s">
        <v>9</v>
      </c>
      <c r="B9" s="38"/>
      <c r="C9" s="38"/>
      <c r="D9" s="38"/>
      <c r="E9" s="38"/>
      <c r="F9" s="38"/>
      <c r="G9" s="38"/>
      <c r="H9" s="38"/>
    </row>
    <row r="10" spans="1:8">
      <c r="A10" s="38" t="s">
        <v>10</v>
      </c>
      <c r="B10" s="38"/>
      <c r="C10" s="38"/>
      <c r="D10" s="38"/>
      <c r="E10" s="38"/>
      <c r="F10" s="38"/>
      <c r="G10" s="38"/>
      <c r="H10" s="38"/>
    </row>
    <row r="11" spans="1:8">
      <c r="A11" s="2"/>
      <c r="B11" s="3"/>
    </row>
    <row r="12" spans="1:8">
      <c r="A12" s="38" t="s">
        <v>11</v>
      </c>
      <c r="B12" s="38"/>
      <c r="C12" s="38"/>
      <c r="D12" s="38"/>
      <c r="E12" s="38"/>
      <c r="F12" s="38"/>
      <c r="G12" s="38"/>
      <c r="H12" s="38"/>
    </row>
    <row r="13" spans="1:8">
      <c r="A13" s="4" t="s">
        <v>12</v>
      </c>
      <c r="B13" s="3" t="s">
        <v>13</v>
      </c>
    </row>
    <row r="14" spans="1:8">
      <c r="A14" s="4" t="s">
        <v>14</v>
      </c>
      <c r="B14" s="3" t="s">
        <v>15</v>
      </c>
    </row>
    <row r="15" spans="1:8">
      <c r="A15" s="4" t="s">
        <v>16</v>
      </c>
      <c r="B15" s="3" t="s">
        <v>17</v>
      </c>
    </row>
    <row r="16" spans="1:8" ht="26.85">
      <c r="A16" s="4" t="s">
        <v>18</v>
      </c>
      <c r="B16" s="3" t="s">
        <v>19</v>
      </c>
    </row>
    <row r="17" spans="1:2">
      <c r="A17" s="2"/>
      <c r="B17" s="3"/>
    </row>
    <row r="18" spans="1:2">
      <c r="A18" s="4" t="s">
        <v>20</v>
      </c>
      <c r="B18" s="3"/>
    </row>
    <row r="19" spans="1:2">
      <c r="A19" s="4" t="s">
        <v>21</v>
      </c>
      <c r="B19" s="3" t="s">
        <v>22</v>
      </c>
    </row>
    <row r="20" spans="1:2">
      <c r="A20" s="4" t="s">
        <v>23</v>
      </c>
      <c r="B20" s="3" t="s">
        <v>24</v>
      </c>
    </row>
    <row r="21" spans="1:2">
      <c r="A21" s="4" t="s">
        <v>25</v>
      </c>
      <c r="B21" s="3" t="s">
        <v>26</v>
      </c>
    </row>
    <row r="22" spans="1:2" ht="26.85">
      <c r="A22" s="4" t="s">
        <v>27</v>
      </c>
      <c r="B22" s="3" t="s">
        <v>28</v>
      </c>
    </row>
    <row r="23" spans="1:2" ht="26.85">
      <c r="A23" s="4" t="s">
        <v>29</v>
      </c>
      <c r="B23" s="3" t="s">
        <v>30</v>
      </c>
    </row>
    <row r="24" spans="1:2">
      <c r="A24" s="4" t="s">
        <v>31</v>
      </c>
      <c r="B24" s="3" t="s">
        <v>32</v>
      </c>
    </row>
    <row r="25" spans="1:2">
      <c r="A25" s="2"/>
      <c r="B25" s="3"/>
    </row>
    <row r="26" spans="1:2">
      <c r="A26" s="4" t="s">
        <v>33</v>
      </c>
      <c r="B26" s="3"/>
    </row>
    <row r="27" spans="1:2">
      <c r="A27" s="4" t="s">
        <v>34</v>
      </c>
      <c r="B27" s="3" t="s">
        <v>35</v>
      </c>
    </row>
    <row r="28" spans="1:2">
      <c r="A28" s="4" t="s">
        <v>36</v>
      </c>
      <c r="B28" s="3" t="s">
        <v>37</v>
      </c>
    </row>
    <row r="29" spans="1:2" ht="26.85">
      <c r="A29" s="4" t="s">
        <v>38</v>
      </c>
      <c r="B29" s="3" t="s">
        <v>39</v>
      </c>
    </row>
    <row r="30" spans="1:2">
      <c r="A30" s="4" t="s">
        <v>40</v>
      </c>
      <c r="B30" s="3" t="s">
        <v>41</v>
      </c>
    </row>
  </sheetData>
  <mergeCells count="6">
    <mergeCell ref="A12:H12"/>
    <mergeCell ref="A1:H1"/>
    <mergeCell ref="A2:H2"/>
    <mergeCell ref="A5:H5"/>
    <mergeCell ref="A9:H9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zoomScaleNormal="100" workbookViewId="0">
      <selection activeCell="A16" sqref="A16:B16"/>
    </sheetView>
  </sheetViews>
  <sheetFormatPr defaultColWidth="8.7109375" defaultRowHeight="15"/>
  <cols>
    <col min="1" max="1" width="34" customWidth="1"/>
    <col min="2" max="10" width="22" customWidth="1"/>
  </cols>
  <sheetData>
    <row r="1" spans="1:8" ht="25.5" customHeight="1">
      <c r="A1" s="1" t="s">
        <v>42</v>
      </c>
      <c r="B1" s="1"/>
      <c r="C1" s="1"/>
      <c r="D1" s="1"/>
      <c r="E1" s="1"/>
      <c r="F1" s="1"/>
      <c r="G1" s="1"/>
      <c r="H1" s="1"/>
    </row>
    <row r="2" spans="1:8">
      <c r="A2" s="37" t="s">
        <v>43</v>
      </c>
      <c r="B2" s="37"/>
      <c r="C2" s="37"/>
      <c r="D2" s="37"/>
      <c r="E2" s="37"/>
      <c r="F2" s="37"/>
      <c r="G2" s="37"/>
      <c r="H2" s="37"/>
    </row>
    <row r="4" spans="1:8">
      <c r="A4" s="8" t="s">
        <v>44</v>
      </c>
      <c r="B4" s="9" t="s">
        <v>45</v>
      </c>
      <c r="C4" s="9" t="s">
        <v>46</v>
      </c>
      <c r="D4" s="9" t="s">
        <v>47</v>
      </c>
      <c r="E4" s="9" t="s">
        <v>48</v>
      </c>
      <c r="F4" s="9" t="s">
        <v>49</v>
      </c>
    </row>
    <row r="5" spans="1:8">
      <c r="A5" s="5" t="s">
        <v>50</v>
      </c>
      <c r="B5" s="10">
        <v>123936</v>
      </c>
      <c r="C5" s="10">
        <v>149468</v>
      </c>
      <c r="D5" s="10">
        <v>158381</v>
      </c>
      <c r="E5" s="10">
        <v>166590</v>
      </c>
      <c r="F5" s="10">
        <v>182972</v>
      </c>
    </row>
    <row r="6" spans="1:8">
      <c r="A6" s="5" t="s">
        <v>51</v>
      </c>
      <c r="B6" s="10">
        <v>93826</v>
      </c>
      <c r="C6" s="10">
        <v>116146</v>
      </c>
      <c r="D6" s="10">
        <v>122393</v>
      </c>
      <c r="E6" s="10">
        <v>128982</v>
      </c>
      <c r="F6" s="10">
        <v>141688</v>
      </c>
    </row>
    <row r="7" spans="1:8">
      <c r="A7" s="5" t="s">
        <v>52</v>
      </c>
      <c r="B7" s="10">
        <v>30310</v>
      </c>
      <c r="C7" s="10">
        <v>33606</v>
      </c>
      <c r="D7" s="10">
        <v>36458</v>
      </c>
      <c r="E7" s="10">
        <v>38024</v>
      </c>
      <c r="F7" s="10">
        <v>41700</v>
      </c>
    </row>
    <row r="8" spans="1:8">
      <c r="A8" s="5" t="s">
        <v>53</v>
      </c>
      <c r="B8" s="10">
        <v>30110</v>
      </c>
      <c r="C8" s="10">
        <v>33322</v>
      </c>
      <c r="D8" s="10">
        <v>35988</v>
      </c>
      <c r="E8" s="10">
        <v>37608</v>
      </c>
      <c r="F8" s="10">
        <v>39995</v>
      </c>
    </row>
    <row r="9" spans="1:8">
      <c r="A9" s="5" t="s">
        <v>54</v>
      </c>
      <c r="B9" s="10">
        <v>22146</v>
      </c>
      <c r="C9" s="10">
        <v>24108</v>
      </c>
      <c r="D9" s="10">
        <v>26248</v>
      </c>
      <c r="E9" s="10">
        <v>26750</v>
      </c>
      <c r="F9" s="10">
        <v>29474</v>
      </c>
    </row>
    <row r="10" spans="1:8">
      <c r="A10" s="5" t="s">
        <v>55</v>
      </c>
      <c r="B10" s="10">
        <v>117885</v>
      </c>
      <c r="C10" s="10">
        <v>125816</v>
      </c>
      <c r="D10" s="10">
        <v>137814</v>
      </c>
      <c r="E10" s="10">
        <v>148903</v>
      </c>
      <c r="F10" s="10">
        <v>155967</v>
      </c>
    </row>
    <row r="11" spans="1:8">
      <c r="A11" s="5" t="s">
        <v>56</v>
      </c>
      <c r="B11" s="10">
        <v>75350</v>
      </c>
      <c r="C11" s="10">
        <v>75407</v>
      </c>
      <c r="D11" s="10">
        <v>88116</v>
      </c>
      <c r="E11" s="10">
        <v>95818</v>
      </c>
      <c r="F11" s="10">
        <v>92852</v>
      </c>
    </row>
    <row r="12" spans="1:8">
      <c r="A12" s="5" t="s">
        <v>57</v>
      </c>
      <c r="B12" s="10">
        <v>4000</v>
      </c>
      <c r="C12" s="10">
        <v>4266</v>
      </c>
      <c r="D12" s="10">
        <v>3766</v>
      </c>
      <c r="E12" s="10">
        <v>3459</v>
      </c>
      <c r="F12" s="10">
        <v>3749</v>
      </c>
    </row>
    <row r="13" spans="1:8">
      <c r="A13" s="5" t="s">
        <v>58</v>
      </c>
      <c r="B13" s="10"/>
      <c r="C13" s="10">
        <v>6534</v>
      </c>
      <c r="D13" s="10">
        <v>8191</v>
      </c>
      <c r="E13" s="10">
        <v>14265</v>
      </c>
      <c r="F13" s="10">
        <v>8727</v>
      </c>
    </row>
    <row r="14" spans="1:8">
      <c r="A14" s="5" t="s">
        <v>59</v>
      </c>
      <c r="B14" s="10">
        <v>2407</v>
      </c>
      <c r="C14" s="10">
        <v>2648</v>
      </c>
      <c r="D14" s="10">
        <v>2208</v>
      </c>
      <c r="E14" s="10">
        <v>2183</v>
      </c>
      <c r="F14" s="10">
        <v>2540</v>
      </c>
    </row>
    <row r="16" spans="1:8">
      <c r="A16" s="11" t="s">
        <v>60</v>
      </c>
      <c r="B16" s="12">
        <v>414</v>
      </c>
    </row>
    <row r="18" spans="1:6">
      <c r="A18" s="5" t="s">
        <v>61</v>
      </c>
      <c r="B18" s="6"/>
      <c r="C18" s="7">
        <f>C5/B5-1</f>
        <v>0.20600955331784143</v>
      </c>
      <c r="D18" s="7">
        <f>D5/C5-1</f>
        <v>5.9631493028608151E-2</v>
      </c>
      <c r="E18" s="7">
        <f>E5/D5-1</f>
        <v>5.1830712017224334E-2</v>
      </c>
      <c r="F18" s="7">
        <f>F5/E5-1</f>
        <v>9.8337235128159062E-2</v>
      </c>
    </row>
    <row r="19" spans="1:6">
      <c r="A19" s="5" t="s">
        <v>62</v>
      </c>
      <c r="B19" s="7">
        <f>B7/B5</f>
        <v>0.24456170926930029</v>
      </c>
      <c r="C19" s="7">
        <f>C7/C5</f>
        <v>0.22483742339497417</v>
      </c>
      <c r="D19" s="7">
        <f>D7/D5</f>
        <v>0.23019175279863116</v>
      </c>
      <c r="E19" s="7">
        <f>E7/E5</f>
        <v>0.22824899453748723</v>
      </c>
      <c r="F19" s="7">
        <f>F7/F5</f>
        <v>0.22790372297400696</v>
      </c>
    </row>
    <row r="20" spans="1:6">
      <c r="A20" s="5" t="s">
        <v>63</v>
      </c>
      <c r="B20" s="7">
        <f>(B8-B9)/B8</f>
        <v>0.26449684490202591</v>
      </c>
      <c r="C20" s="7">
        <f>(C8-C9)/C8</f>
        <v>0.27651401476502013</v>
      </c>
      <c r="D20" s="7">
        <f>(D8-D9)/D8</f>
        <v>0.27064577081249308</v>
      </c>
      <c r="E20" s="7">
        <f>(E8-E9)/E8</f>
        <v>0.28871516698574773</v>
      </c>
      <c r="F20" s="7">
        <f>(F8-F9)/F8</f>
        <v>0.26305788223527943</v>
      </c>
    </row>
    <row r="21" spans="1:6">
      <c r="A21" s="5" t="s">
        <v>64</v>
      </c>
      <c r="B21" s="7">
        <f>B14/B5</f>
        <v>1.9421314226697649E-2</v>
      </c>
      <c r="C21" s="7">
        <f>C14/C5</f>
        <v>1.771616667112693E-2</v>
      </c>
      <c r="D21" s="7">
        <f>D14/D5</f>
        <v>1.3941066163239278E-2</v>
      </c>
      <c r="E21" s="7">
        <f>E14/E5</f>
        <v>1.3104027852812294E-2</v>
      </c>
      <c r="F21" s="7">
        <f>F14/F5</f>
        <v>1.3881905428152942E-2</v>
      </c>
    </row>
    <row r="22" spans="1:6">
      <c r="A22" s="6"/>
      <c r="B22" s="6"/>
      <c r="C22" s="6"/>
      <c r="D22" s="6"/>
      <c r="E22" s="6"/>
      <c r="F22" s="6"/>
    </row>
    <row r="23" spans="1:6">
      <c r="A23" s="39" t="s">
        <v>65</v>
      </c>
      <c r="B23" s="39"/>
      <c r="C23" s="39"/>
      <c r="D23" s="39"/>
      <c r="E23" s="39"/>
      <c r="F23" s="39"/>
    </row>
    <row r="24" spans="1:6">
      <c r="A24" s="39" t="s">
        <v>66</v>
      </c>
      <c r="B24" s="39"/>
      <c r="C24" s="39"/>
      <c r="D24" s="39"/>
      <c r="E24" s="39"/>
      <c r="F24" s="39"/>
    </row>
  </sheetData>
  <mergeCells count="4">
    <mergeCell ref="A1:H1"/>
    <mergeCell ref="A2:H2"/>
    <mergeCell ref="A23:F23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showGridLines="0" topLeftCell="A4" zoomScaleNormal="100" workbookViewId="0">
      <selection activeCell="A19" sqref="A19:C26"/>
    </sheetView>
  </sheetViews>
  <sheetFormatPr defaultColWidth="8.7109375" defaultRowHeight="15"/>
  <cols>
    <col min="1" max="1" width="34" customWidth="1"/>
    <col min="2" max="2" width="22" customWidth="1"/>
    <col min="3" max="3" width="55" customWidth="1"/>
    <col min="4" max="10" width="22" customWidth="1"/>
  </cols>
  <sheetData>
    <row r="1" spans="1:8" ht="25.5" customHeight="1">
      <c r="A1" s="1" t="s">
        <v>67</v>
      </c>
      <c r="B1" s="1"/>
      <c r="C1" s="1"/>
      <c r="D1" s="1"/>
      <c r="E1" s="1"/>
      <c r="F1" s="1"/>
      <c r="G1" s="1"/>
      <c r="H1" s="1"/>
    </row>
    <row r="2" spans="1:8">
      <c r="A2" s="37" t="s">
        <v>68</v>
      </c>
      <c r="B2" s="37"/>
      <c r="C2" s="37"/>
      <c r="D2" s="37"/>
      <c r="E2" s="37"/>
      <c r="F2" s="37"/>
      <c r="G2" s="37"/>
      <c r="H2" s="37"/>
    </row>
    <row r="4" spans="1:8">
      <c r="A4" s="40" t="s">
        <v>69</v>
      </c>
      <c r="B4" s="40"/>
      <c r="C4" s="40"/>
    </row>
    <row r="5" spans="1:8">
      <c r="A5" s="5" t="s">
        <v>70</v>
      </c>
      <c r="B5" s="13">
        <v>0.09</v>
      </c>
      <c r="C5" s="14" t="s">
        <v>71</v>
      </c>
    </row>
    <row r="6" spans="1:8">
      <c r="A6" s="5" t="s">
        <v>72</v>
      </c>
      <c r="B6" s="13">
        <v>7.0000000000000007E-2</v>
      </c>
      <c r="C6" s="14" t="s">
        <v>73</v>
      </c>
    </row>
    <row r="7" spans="1:8">
      <c r="A7" s="5" t="s">
        <v>74</v>
      </c>
      <c r="B7" s="13">
        <v>0.22800000000000001</v>
      </c>
      <c r="C7" s="14" t="s">
        <v>75</v>
      </c>
    </row>
    <row r="8" spans="1:8">
      <c r="A8" s="5" t="s">
        <v>76</v>
      </c>
      <c r="B8" s="13">
        <v>0.27</v>
      </c>
      <c r="C8" s="14" t="s">
        <v>77</v>
      </c>
    </row>
    <row r="9" spans="1:8">
      <c r="A9" s="5" t="s">
        <v>78</v>
      </c>
      <c r="B9" s="15">
        <v>2.8000000000000001E-2</v>
      </c>
      <c r="C9" s="14" t="s">
        <v>79</v>
      </c>
    </row>
    <row r="10" spans="1:8">
      <c r="A10" s="5" t="s">
        <v>80</v>
      </c>
      <c r="B10" s="13">
        <v>1.4999999999999999E-2</v>
      </c>
      <c r="C10" s="14" t="s">
        <v>81</v>
      </c>
    </row>
    <row r="11" spans="1:8">
      <c r="A11" s="5" t="s">
        <v>82</v>
      </c>
      <c r="B11" s="15">
        <v>0.1</v>
      </c>
      <c r="C11" s="14" t="s">
        <v>83</v>
      </c>
    </row>
    <row r="13" spans="1:8">
      <c r="A13" s="40" t="s">
        <v>84</v>
      </c>
      <c r="B13" s="40"/>
      <c r="C13" s="40"/>
    </row>
    <row r="14" spans="1:8">
      <c r="A14" s="5" t="s">
        <v>85</v>
      </c>
      <c r="B14" s="15">
        <v>6.9000000000000006E-2</v>
      </c>
      <c r="C14" s="14" t="s">
        <v>86</v>
      </c>
    </row>
    <row r="15" spans="1:8">
      <c r="A15" s="5" t="s">
        <v>87</v>
      </c>
      <c r="B15" s="15">
        <v>6.5000000000000002E-2</v>
      </c>
      <c r="C15" s="14" t="s">
        <v>88</v>
      </c>
    </row>
    <row r="16" spans="1:8">
      <c r="A16" s="5" t="s">
        <v>89</v>
      </c>
      <c r="B16" s="16">
        <v>0.75</v>
      </c>
      <c r="C16" s="14" t="s">
        <v>90</v>
      </c>
    </row>
    <row r="17" spans="1:3">
      <c r="A17" s="5" t="s">
        <v>91</v>
      </c>
      <c r="B17" s="15">
        <v>7.0000000000000007E-2</v>
      </c>
      <c r="C17" s="14" t="s">
        <v>92</v>
      </c>
    </row>
    <row r="19" spans="1:3">
      <c r="A19" s="40" t="s">
        <v>93</v>
      </c>
      <c r="B19" s="40"/>
      <c r="C19" s="40"/>
    </row>
    <row r="20" spans="1:3">
      <c r="A20" s="5" t="s">
        <v>94</v>
      </c>
      <c r="B20" s="13">
        <v>0.04</v>
      </c>
      <c r="C20" s="14" t="s">
        <v>95</v>
      </c>
    </row>
    <row r="21" spans="1:3">
      <c r="A21" s="5" t="s">
        <v>96</v>
      </c>
      <c r="B21" s="17">
        <v>1100</v>
      </c>
      <c r="C21" s="14" t="s">
        <v>97</v>
      </c>
    </row>
    <row r="22" spans="1:3">
      <c r="A22" s="18" t="s">
        <v>98</v>
      </c>
      <c r="B22" s="19">
        <f>Historicals!B16</f>
        <v>414</v>
      </c>
      <c r="C22" s="6"/>
    </row>
    <row r="23" spans="1:3">
      <c r="A23" s="18" t="s">
        <v>99</v>
      </c>
      <c r="B23" s="20">
        <f>Historicals!F12</f>
        <v>3749</v>
      </c>
      <c r="C23" s="6"/>
    </row>
    <row r="24" spans="1:3">
      <c r="A24" s="18" t="s">
        <v>100</v>
      </c>
      <c r="B24" s="20">
        <f>Historicals!F13</f>
        <v>8727</v>
      </c>
      <c r="C24" s="6"/>
    </row>
    <row r="25" spans="1:3">
      <c r="A25" s="5" t="s">
        <v>101</v>
      </c>
      <c r="B25" s="13">
        <v>0.15</v>
      </c>
      <c r="C25" s="14" t="s">
        <v>102</v>
      </c>
    </row>
    <row r="26" spans="1:3">
      <c r="A26" s="5" t="s">
        <v>103</v>
      </c>
      <c r="B26" s="13">
        <v>-0.15</v>
      </c>
      <c r="C26" s="14" t="s">
        <v>104</v>
      </c>
    </row>
  </sheetData>
  <mergeCells count="5">
    <mergeCell ref="A1:H1"/>
    <mergeCell ref="A2:H2"/>
    <mergeCell ref="A4:C4"/>
    <mergeCell ref="A13:C13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Normal="100" workbookViewId="0">
      <selection activeCell="A4" sqref="A4:F13"/>
    </sheetView>
  </sheetViews>
  <sheetFormatPr defaultColWidth="8.7109375" defaultRowHeight="15"/>
  <cols>
    <col min="1" max="1" width="34" customWidth="1"/>
    <col min="2" max="10" width="22" customWidth="1"/>
  </cols>
  <sheetData>
    <row r="1" spans="1:8" ht="25.5" customHeight="1">
      <c r="A1" s="1" t="s">
        <v>105</v>
      </c>
      <c r="B1" s="1"/>
      <c r="C1" s="1"/>
      <c r="D1" s="1"/>
      <c r="E1" s="1"/>
      <c r="F1" s="1"/>
      <c r="G1" s="1"/>
      <c r="H1" s="1"/>
    </row>
    <row r="2" spans="1:8">
      <c r="A2" s="37" t="s">
        <v>106</v>
      </c>
      <c r="B2" s="37"/>
      <c r="C2" s="37"/>
      <c r="D2" s="37"/>
      <c r="E2" s="37"/>
      <c r="F2" s="37"/>
      <c r="G2" s="37"/>
      <c r="H2" s="37"/>
    </row>
    <row r="4" spans="1:8">
      <c r="A4" s="8" t="s">
        <v>107</v>
      </c>
      <c r="B4" s="9" t="s">
        <v>108</v>
      </c>
      <c r="C4" s="9" t="s">
        <v>109</v>
      </c>
      <c r="D4" s="9" t="s">
        <v>110</v>
      </c>
      <c r="E4" s="9" t="s">
        <v>111</v>
      </c>
      <c r="F4" s="9" t="s">
        <v>112</v>
      </c>
    </row>
    <row r="5" spans="1:8">
      <c r="A5" s="5" t="s">
        <v>113</v>
      </c>
      <c r="B5" s="21">
        <f>Assumptions!$B$5</f>
        <v>0.09</v>
      </c>
      <c r="C5" s="21">
        <f>Assumptions!$B$5+(Assumptions!$B$6-Assumptions!$B$5)*1/4</f>
        <v>8.4999999999999992E-2</v>
      </c>
      <c r="D5" s="21">
        <f>Assumptions!$B$5+(Assumptions!$B$6-Assumptions!$B$5)*2/4</f>
        <v>0.08</v>
      </c>
      <c r="E5" s="21">
        <f>Assumptions!$B$5+(Assumptions!$B$6-Assumptions!$B$5)*3/4</f>
        <v>7.5000000000000011E-2</v>
      </c>
      <c r="F5" s="21">
        <f>Assumptions!$B$5+(Assumptions!$B$6-Assumptions!$B$5)*4/4</f>
        <v>7.0000000000000007E-2</v>
      </c>
    </row>
    <row r="6" spans="1:8">
      <c r="A6" s="5" t="s">
        <v>114</v>
      </c>
      <c r="B6" s="22">
        <f>Historicals!F5*(1+B5)</f>
        <v>199439.48</v>
      </c>
      <c r="C6" s="22">
        <f>B6*(1+C5)</f>
        <v>216391.8358</v>
      </c>
      <c r="D6" s="22">
        <f>C6*(1+D5)</f>
        <v>233703.18266400002</v>
      </c>
      <c r="E6" s="22">
        <f>D6*(1+E5)</f>
        <v>251230.92136380001</v>
      </c>
      <c r="F6" s="22">
        <f>E6*(1+F5)</f>
        <v>268817.08585926605</v>
      </c>
    </row>
    <row r="7" spans="1:8">
      <c r="A7" s="5" t="s">
        <v>115</v>
      </c>
      <c r="B7" s="20">
        <f>B6*Assumptions!$B$7</f>
        <v>45472.201440000004</v>
      </c>
      <c r="C7" s="20">
        <f>C6*Assumptions!$B$7</f>
        <v>49337.3385624</v>
      </c>
      <c r="D7" s="20">
        <f>D6*Assumptions!$B$7</f>
        <v>53284.325647392005</v>
      </c>
      <c r="E7" s="20">
        <f>E6*Assumptions!$B$7</f>
        <v>57280.650070946402</v>
      </c>
      <c r="F7" s="20">
        <f>F6*Assumptions!$B$7</f>
        <v>61290.295575912663</v>
      </c>
    </row>
    <row r="8" spans="1:8">
      <c r="A8" s="5" t="s">
        <v>116</v>
      </c>
      <c r="B8" s="20">
        <f>B7*Assumptions!$B$8</f>
        <v>12277.494388800002</v>
      </c>
      <c r="C8" s="20">
        <f>C7*Assumptions!$B$8</f>
        <v>13321.081411848001</v>
      </c>
      <c r="D8" s="20">
        <f>D7*Assumptions!$B$8</f>
        <v>14386.767924795842</v>
      </c>
      <c r="E8" s="20">
        <f>E7*Assumptions!$B$8</f>
        <v>15465.77551915553</v>
      </c>
      <c r="F8" s="20">
        <f>F7*Assumptions!$B$8</f>
        <v>16548.379805496421</v>
      </c>
    </row>
    <row r="9" spans="1:8">
      <c r="A9" s="23" t="s">
        <v>117</v>
      </c>
      <c r="B9" s="22">
        <f>B7-B8</f>
        <v>33194.707051200006</v>
      </c>
      <c r="C9" s="22">
        <f>C7-C8</f>
        <v>36016.257150552003</v>
      </c>
      <c r="D9" s="22">
        <f>D7-D8</f>
        <v>38897.557722596161</v>
      </c>
      <c r="E9" s="22">
        <f>E7-E8</f>
        <v>41814.874551790868</v>
      </c>
      <c r="F9" s="22">
        <f>F7-F8</f>
        <v>44741.915770416243</v>
      </c>
    </row>
    <row r="10" spans="1:8">
      <c r="A10" s="5" t="s">
        <v>118</v>
      </c>
      <c r="B10" s="20">
        <f>B6*Assumptions!$B$9</f>
        <v>5584.3054400000001</v>
      </c>
      <c r="C10" s="20">
        <f>C6*Assumptions!$B$9</f>
        <v>6058.9714024000004</v>
      </c>
      <c r="D10" s="20">
        <f>D6*Assumptions!$B$9</f>
        <v>6543.6891145920008</v>
      </c>
      <c r="E10" s="20">
        <f>E6*Assumptions!$B$9</f>
        <v>7034.4657981864002</v>
      </c>
      <c r="F10" s="20">
        <f>F6*Assumptions!$B$9</f>
        <v>7526.8784040594492</v>
      </c>
    </row>
    <row r="11" spans="1:8">
      <c r="A11" s="5" t="s">
        <v>119</v>
      </c>
      <c r="B11" s="20">
        <f>B6*Assumptions!$B$10</f>
        <v>2991.5922</v>
      </c>
      <c r="C11" s="20">
        <f>C6*Assumptions!$B$10</f>
        <v>3245.8775369999998</v>
      </c>
      <c r="D11" s="20">
        <f>D6*Assumptions!$B$10</f>
        <v>3505.5477399600004</v>
      </c>
      <c r="E11" s="20">
        <f>E6*Assumptions!$B$10</f>
        <v>3768.4638204570001</v>
      </c>
      <c r="F11" s="20">
        <f>F6*Assumptions!$B$10</f>
        <v>4032.2562878889908</v>
      </c>
    </row>
    <row r="12" spans="1:8">
      <c r="A12" s="5" t="s">
        <v>120</v>
      </c>
      <c r="B12" s="20">
        <f>(B6-Historicals!F5)*Assumptions!$B$11</f>
        <v>1646.7480000000012</v>
      </c>
      <c r="C12" s="20">
        <f>(C6-B6)*Assumptions!$B$11</f>
        <v>1695.2355799999991</v>
      </c>
      <c r="D12" s="20">
        <f>(D6-C6)*Assumptions!$B$11</f>
        <v>1731.1346864000022</v>
      </c>
      <c r="E12" s="20">
        <f>(E6-D6)*Assumptions!$B$11</f>
        <v>1752.7738699799986</v>
      </c>
      <c r="F12" s="20">
        <f>(F6-E6)*Assumptions!$B$11</f>
        <v>1758.6164495466046</v>
      </c>
    </row>
    <row r="13" spans="1:8">
      <c r="A13" s="23" t="s">
        <v>121</v>
      </c>
      <c r="B13" s="24">
        <f>B9+B10-B11-B12</f>
        <v>34140.672291200004</v>
      </c>
      <c r="C13" s="24">
        <f>C9+C10-C11-C12</f>
        <v>37134.115435952001</v>
      </c>
      <c r="D13" s="24">
        <f>D9+D10-D11-D12</f>
        <v>40204.564410828163</v>
      </c>
      <c r="E13" s="24">
        <f>E9+E10-E11-E12</f>
        <v>43328.102659540273</v>
      </c>
      <c r="F13" s="24">
        <f>F9+F10-F11-F12</f>
        <v>46477.921437040095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zoomScaleNormal="100" workbookViewId="0">
      <selection activeCell="B21" sqref="B21"/>
    </sheetView>
  </sheetViews>
  <sheetFormatPr defaultColWidth="8.7109375" defaultRowHeight="15"/>
  <cols>
    <col min="1" max="1" width="34" customWidth="1"/>
    <col min="2" max="10" width="22" customWidth="1"/>
  </cols>
  <sheetData>
    <row r="1" spans="1:8" ht="25.5" customHeight="1">
      <c r="A1" s="1" t="s">
        <v>122</v>
      </c>
      <c r="B1" s="1"/>
      <c r="C1" s="1"/>
      <c r="D1" s="1"/>
      <c r="E1" s="1"/>
      <c r="F1" s="1"/>
      <c r="G1" s="1"/>
      <c r="H1" s="1"/>
    </row>
    <row r="2" spans="1:8">
      <c r="A2" s="37" t="s">
        <v>123</v>
      </c>
      <c r="B2" s="37"/>
      <c r="C2" s="37"/>
      <c r="D2" s="37"/>
      <c r="E2" s="37"/>
      <c r="F2" s="37"/>
      <c r="G2" s="37"/>
      <c r="H2" s="37"/>
    </row>
    <row r="4" spans="1:8">
      <c r="A4" s="40" t="s">
        <v>124</v>
      </c>
      <c r="B4" s="40"/>
    </row>
    <row r="5" spans="1:8">
      <c r="A5" s="5" t="s">
        <v>23</v>
      </c>
      <c r="B5" s="21">
        <f>Assumptions!B14</f>
        <v>6.9000000000000006E-2</v>
      </c>
    </row>
    <row r="6" spans="1:8">
      <c r="A6" s="5" t="s">
        <v>25</v>
      </c>
      <c r="B6" s="21">
        <f>Assumptions!B15</f>
        <v>6.5000000000000002E-2</v>
      </c>
    </row>
    <row r="7" spans="1:8">
      <c r="A7" s="5" t="s">
        <v>27</v>
      </c>
      <c r="B7" s="25">
        <f>Assumptions!B16</f>
        <v>0.75</v>
      </c>
    </row>
    <row r="8" spans="1:8">
      <c r="A8" s="23" t="s">
        <v>125</v>
      </c>
      <c r="B8" s="26">
        <f>B5+B7*B6</f>
        <v>0.11775000000000001</v>
      </c>
    </row>
    <row r="10" spans="1:8">
      <c r="A10" s="40" t="s">
        <v>126</v>
      </c>
      <c r="B10" s="40"/>
    </row>
    <row r="11" spans="1:8">
      <c r="A11" s="5" t="s">
        <v>91</v>
      </c>
      <c r="B11" s="21">
        <f>Assumptions!B17</f>
        <v>7.0000000000000007E-2</v>
      </c>
    </row>
    <row r="12" spans="1:8">
      <c r="A12" s="5" t="s">
        <v>127</v>
      </c>
      <c r="B12" s="21">
        <f>Assumptions!B8</f>
        <v>0.27</v>
      </c>
    </row>
    <row r="13" spans="1:8">
      <c r="A13" s="23" t="s">
        <v>128</v>
      </c>
      <c r="B13" s="26">
        <f>B11*(1-B12)</f>
        <v>5.1100000000000007E-2</v>
      </c>
    </row>
    <row r="15" spans="1:8">
      <c r="A15" s="40" t="s">
        <v>129</v>
      </c>
      <c r="B15" s="40"/>
    </row>
    <row r="16" spans="1:8">
      <c r="A16" s="5" t="s">
        <v>130</v>
      </c>
      <c r="B16" s="20">
        <f>Assumptions!B21*Assumptions!B22</f>
        <v>455400</v>
      </c>
    </row>
    <row r="17" spans="1:2">
      <c r="A17" s="5" t="s">
        <v>131</v>
      </c>
      <c r="B17" s="20">
        <f>Assumptions!B23</f>
        <v>3749</v>
      </c>
    </row>
    <row r="18" spans="1:2">
      <c r="A18" s="5" t="s">
        <v>132</v>
      </c>
      <c r="B18" s="7">
        <f>B16/(B16+B17)</f>
        <v>0.99183489455492657</v>
      </c>
    </row>
    <row r="19" spans="1:2">
      <c r="A19" s="5" t="s">
        <v>133</v>
      </c>
      <c r="B19" s="7">
        <f>B17/(B16+B17)</f>
        <v>8.165105445073385E-3</v>
      </c>
    </row>
    <row r="21" spans="1:2" ht="16.149999999999999">
      <c r="A21" s="27" t="s">
        <v>134</v>
      </c>
      <c r="B21" s="28">
        <f>B18*B8+B19*B13</f>
        <v>0.11720579572208585</v>
      </c>
    </row>
  </sheetData>
  <mergeCells count="5">
    <mergeCell ref="A1:H1"/>
    <mergeCell ref="A2:H2"/>
    <mergeCell ref="A4:B4"/>
    <mergeCell ref="A10:B10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tabSelected="1" topLeftCell="A10" zoomScaleNormal="100" workbookViewId="0">
      <selection activeCell="A24" sqref="A24:C28"/>
    </sheetView>
  </sheetViews>
  <sheetFormatPr defaultColWidth="8.7109375" defaultRowHeight="15"/>
  <cols>
    <col min="1" max="1" width="42" customWidth="1"/>
    <col min="2" max="10" width="22" customWidth="1"/>
  </cols>
  <sheetData>
    <row r="1" spans="1:8" ht="25.5" customHeight="1">
      <c r="A1" s="1" t="s">
        <v>135</v>
      </c>
      <c r="B1" s="1"/>
      <c r="C1" s="1"/>
      <c r="D1" s="1"/>
      <c r="E1" s="1"/>
      <c r="F1" s="1"/>
      <c r="G1" s="1"/>
      <c r="H1" s="1"/>
    </row>
    <row r="2" spans="1:8">
      <c r="A2" s="37" t="s">
        <v>136</v>
      </c>
      <c r="B2" s="37"/>
      <c r="C2" s="37"/>
      <c r="D2" s="37"/>
      <c r="E2" s="37"/>
      <c r="F2" s="37"/>
      <c r="G2" s="37"/>
      <c r="H2" s="37"/>
    </row>
    <row r="4" spans="1:8">
      <c r="A4" s="8" t="s">
        <v>107</v>
      </c>
      <c r="B4" s="9" t="s">
        <v>108</v>
      </c>
      <c r="C4" s="9" t="s">
        <v>109</v>
      </c>
      <c r="D4" s="9" t="s">
        <v>110</v>
      </c>
      <c r="E4" s="9" t="s">
        <v>111</v>
      </c>
      <c r="F4" s="9" t="s">
        <v>112</v>
      </c>
    </row>
    <row r="5" spans="1:8">
      <c r="A5" s="5" t="s">
        <v>137</v>
      </c>
      <c r="B5" s="20">
        <f>Forecast!B13</f>
        <v>34140.672291200004</v>
      </c>
      <c r="C5" s="20">
        <f>Forecast!C13</f>
        <v>37134.115435952001</v>
      </c>
      <c r="D5" s="20">
        <f>Forecast!D13</f>
        <v>40204.564410828163</v>
      </c>
      <c r="E5" s="20">
        <f>Forecast!E13</f>
        <v>43328.102659540273</v>
      </c>
      <c r="F5" s="20">
        <f>Forecast!F13</f>
        <v>46477.921437040095</v>
      </c>
    </row>
    <row r="6" spans="1:8">
      <c r="A6" s="5" t="s">
        <v>138</v>
      </c>
      <c r="B6" s="11">
        <v>1</v>
      </c>
      <c r="C6" s="11">
        <v>2</v>
      </c>
      <c r="D6" s="11">
        <v>3</v>
      </c>
      <c r="E6" s="11">
        <v>4</v>
      </c>
      <c r="F6" s="11">
        <v>5</v>
      </c>
    </row>
    <row r="7" spans="1:8">
      <c r="A7" s="5" t="s">
        <v>139</v>
      </c>
      <c r="B7" s="29">
        <f>1/(1+WACC!$B$21)^B6</f>
        <v>0.895090236578721</v>
      </c>
      <c r="C7" s="29">
        <f>1/(1+WACC!$B$21)^C6</f>
        <v>0.8011865316185508</v>
      </c>
      <c r="D7" s="29">
        <f>1/(1+WACC!$B$21)^D6</f>
        <v>0.71713424213013355</v>
      </c>
      <c r="E7" s="29">
        <f>1/(1+WACC!$B$21)^E6</f>
        <v>0.64189985844696307</v>
      </c>
      <c r="F7" s="29">
        <f>1/(1+WACC!$B$21)^F6</f>
        <v>0.57455829615713971</v>
      </c>
    </row>
    <row r="8" spans="1:8">
      <c r="A8" s="23" t="s">
        <v>140</v>
      </c>
      <c r="B8" s="30">
        <f>B5*B7</f>
        <v>30558.982438086798</v>
      </c>
      <c r="C8" s="30">
        <f>C5*C7</f>
        <v>29751.353150853272</v>
      </c>
      <c r="D8" s="30">
        <f>D5*D7</f>
        <v>28832.069828931395</v>
      </c>
      <c r="E8" s="30">
        <f>E5*E7</f>
        <v>27812.302963934384</v>
      </c>
      <c r="F8" s="30">
        <f>F5*F7</f>
        <v>26704.275349791154</v>
      </c>
    </row>
    <row r="10" spans="1:8">
      <c r="A10" s="40" t="s">
        <v>141</v>
      </c>
      <c r="B10" s="40"/>
      <c r="C10" s="40"/>
    </row>
    <row r="11" spans="1:8">
      <c r="A11" s="5" t="s">
        <v>94</v>
      </c>
      <c r="B11" s="21">
        <f>Assumptions!B20</f>
        <v>0.04</v>
      </c>
      <c r="C11" s="6"/>
    </row>
    <row r="12" spans="1:8">
      <c r="A12" s="5" t="s">
        <v>142</v>
      </c>
      <c r="B12" s="22">
        <f>F5*(1+B11)/(WACC!$B$21-B11)</f>
        <v>626080.43661020359</v>
      </c>
      <c r="C12" s="6"/>
    </row>
    <row r="13" spans="1:8">
      <c r="A13" s="23" t="s">
        <v>143</v>
      </c>
      <c r="B13" s="30">
        <f>B12*F7</f>
        <v>359719.70891607669</v>
      </c>
      <c r="C13" s="6"/>
    </row>
    <row r="15" spans="1:8">
      <c r="A15" s="40" t="s">
        <v>144</v>
      </c>
      <c r="B15" s="40"/>
      <c r="C15" s="40"/>
    </row>
    <row r="16" spans="1:8">
      <c r="A16" s="5" t="s">
        <v>145</v>
      </c>
      <c r="B16" s="22">
        <f>SUM(B8:F8)</f>
        <v>143658.98373159699</v>
      </c>
      <c r="C16" s="6"/>
    </row>
    <row r="17" spans="1:3">
      <c r="A17" s="5" t="s">
        <v>146</v>
      </c>
      <c r="B17" s="22">
        <f>B13</f>
        <v>359719.70891607669</v>
      </c>
      <c r="C17" s="6"/>
    </row>
    <row r="18" spans="1:3">
      <c r="A18" s="31" t="s">
        <v>147</v>
      </c>
      <c r="B18" s="32">
        <f>B16+B17</f>
        <v>503378.69264767366</v>
      </c>
      <c r="C18" s="6"/>
    </row>
    <row r="19" spans="1:3">
      <c r="A19" s="5" t="s">
        <v>148</v>
      </c>
      <c r="B19" s="20">
        <f>Assumptions!B23</f>
        <v>3749</v>
      </c>
      <c r="C19" s="6"/>
    </row>
    <row r="20" spans="1:3">
      <c r="A20" s="5" t="s">
        <v>149</v>
      </c>
      <c r="B20" s="20">
        <f>Assumptions!B24</f>
        <v>8727</v>
      </c>
      <c r="C20" s="6"/>
    </row>
    <row r="21" spans="1:3">
      <c r="A21" s="31" t="s">
        <v>150</v>
      </c>
      <c r="B21" s="32">
        <f>B18-B19+B20</f>
        <v>508356.69264767366</v>
      </c>
      <c r="C21" s="6"/>
    </row>
    <row r="22" spans="1:3">
      <c r="A22" s="5" t="s">
        <v>151</v>
      </c>
      <c r="B22" s="19">
        <f>Assumptions!B22</f>
        <v>414</v>
      </c>
      <c r="C22" s="6"/>
    </row>
    <row r="24" spans="1:3">
      <c r="A24" s="40" t="s">
        <v>152</v>
      </c>
      <c r="B24" s="40"/>
      <c r="C24" s="40"/>
    </row>
    <row r="25" spans="1:3" ht="16.149999999999999">
      <c r="A25" s="33" t="s">
        <v>153</v>
      </c>
      <c r="B25" s="34">
        <f>B21/B22</f>
        <v>1227.9147165402746</v>
      </c>
      <c r="C25" s="6"/>
    </row>
    <row r="26" spans="1:3">
      <c r="A26" s="5" t="s">
        <v>154</v>
      </c>
      <c r="B26" s="35">
        <f>Assumptions!B21</f>
        <v>1100</v>
      </c>
      <c r="C26" s="6"/>
    </row>
    <row r="27" spans="1:3">
      <c r="A27" s="31" t="s">
        <v>155</v>
      </c>
      <c r="B27" s="26">
        <f>B25/B26-1</f>
        <v>0.11628610594570432</v>
      </c>
      <c r="C27" s="6"/>
    </row>
    <row r="28" spans="1:3" ht="16.149999999999999">
      <c r="A28" s="33" t="s">
        <v>156</v>
      </c>
      <c r="B28" s="36" t="str">
        <f>IF(B27&gt;Assumptions!B25,"BUY",IF(B27&lt;Assumptions!B26,"SELL","HOLD"))</f>
        <v>HOLD</v>
      </c>
      <c r="C28" s="6"/>
    </row>
  </sheetData>
  <mergeCells count="5">
    <mergeCell ref="A1:H1"/>
    <mergeCell ref="A2:H2"/>
    <mergeCell ref="A10:C10"/>
    <mergeCell ref="A15:C15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2026-09-13T08:34:48Z</dcterms:created>
  <dcterms:modified xsi:type="dcterms:W3CDTF">2026-09-13T09:00:31Z</dcterms:modified>
  <cp:category/>
  <cp:contentStatus/>
</cp:coreProperties>
</file>